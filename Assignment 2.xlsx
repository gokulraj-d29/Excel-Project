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kulraj.D\Documents\Project - Excel\"/>
    </mc:Choice>
  </mc:AlternateContent>
  <xr:revisionPtr revIDLastSave="0" documentId="13_ncr:1_{91B4CD3A-3499-4F37-B6DA-DA0C5367DA2C}" xr6:coauthVersionLast="47" xr6:coauthVersionMax="47" xr10:uidLastSave="{00000000-0000-0000-0000-000000000000}"/>
  <bookViews>
    <workbookView xWindow="-110" yWindow="-110" windowWidth="19420" windowHeight="11500" activeTab="1" xr2:uid="{F336236B-D7D2-4722-BF4A-10C133FD8EA2}"/>
  </bookViews>
  <sheets>
    <sheet name="Questions" sheetId="4" r:id="rId1"/>
    <sheet name="Dataset" sheetId="3" r:id="rId2"/>
  </sheets>
  <definedNames>
    <definedName name="_xlnm._FilterDatabase" localSheetId="1" hidden="1">Dataset!$A$1:$J$32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3" l="1"/>
  <c r="J13" i="3"/>
  <c r="J14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2" i="3"/>
  <c r="J3" i="3"/>
  <c r="J4" i="3"/>
  <c r="J5" i="3"/>
  <c r="J6" i="3"/>
  <c r="J7" i="3"/>
  <c r="J8" i="3"/>
  <c r="J9" i="3"/>
  <c r="J10" i="3"/>
  <c r="J11" i="3"/>
  <c r="J12" i="3"/>
  <c r="J15" i="3"/>
  <c r="J16" i="3"/>
  <c r="J17" i="3"/>
  <c r="J18" i="3"/>
  <c r="J19" i="3"/>
  <c r="J20" i="3"/>
  <c r="J21" i="3"/>
  <c r="J22" i="3"/>
  <c r="J23" i="3"/>
  <c r="J25" i="3"/>
  <c r="J26" i="3"/>
  <c r="J27" i="3"/>
  <c r="J28" i="3"/>
  <c r="J29" i="3"/>
  <c r="J30" i="3"/>
  <c r="J31" i="3"/>
  <c r="J32" i="3"/>
  <c r="J2" i="3"/>
  <c r="G3" i="3"/>
  <c r="G4" i="3"/>
  <c r="G5" i="3"/>
  <c r="G6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2" i="3"/>
  <c r="G23" i="3"/>
  <c r="G24" i="3"/>
  <c r="G25" i="3"/>
  <c r="G27" i="3"/>
  <c r="G28" i="3"/>
  <c r="G29" i="3"/>
  <c r="G30" i="3"/>
  <c r="G31" i="3"/>
  <c r="G32" i="3"/>
  <c r="G2" i="3"/>
  <c r="N5" i="3"/>
</calcChain>
</file>

<file path=xl/sharedStrings.xml><?xml version="1.0" encoding="utf-8"?>
<sst xmlns="http://schemas.openxmlformats.org/spreadsheetml/2006/main" count="164" uniqueCount="112">
  <si>
    <t>Product Name</t>
  </si>
  <si>
    <t>Brand Name</t>
  </si>
  <si>
    <t>Price ($)</t>
  </si>
  <si>
    <t>Quantity</t>
  </si>
  <si>
    <t>Category</t>
  </si>
  <si>
    <t>Dell</t>
  </si>
  <si>
    <t>Electronics</t>
  </si>
  <si>
    <t>Sneakers</t>
  </si>
  <si>
    <t>Nike</t>
  </si>
  <si>
    <t>Fashion</t>
  </si>
  <si>
    <t>Coffee Maker</t>
  </si>
  <si>
    <t>Keurig</t>
  </si>
  <si>
    <t>Kitchen</t>
  </si>
  <si>
    <t>Samsung</t>
  </si>
  <si>
    <t>Backpack</t>
  </si>
  <si>
    <t>North Face</t>
  </si>
  <si>
    <t>Headphones</t>
  </si>
  <si>
    <t>Sony</t>
  </si>
  <si>
    <t>T-shirt</t>
  </si>
  <si>
    <t>Adidas</t>
  </si>
  <si>
    <t>Blender</t>
  </si>
  <si>
    <t>Ninja</t>
  </si>
  <si>
    <t>Tablet</t>
  </si>
  <si>
    <t>Apple</t>
  </si>
  <si>
    <t>Hiking Boots</t>
  </si>
  <si>
    <t>Timberland</t>
  </si>
  <si>
    <t>Outdoor</t>
  </si>
  <si>
    <t>Laptop</t>
  </si>
  <si>
    <t>HP</t>
  </si>
  <si>
    <t>Nespresso</t>
  </si>
  <si>
    <t>Smartwatch</t>
  </si>
  <si>
    <t>Fitbit</t>
  </si>
  <si>
    <t>Bose</t>
  </si>
  <si>
    <t>Laptop Bag</t>
  </si>
  <si>
    <t>Samsonite</t>
  </si>
  <si>
    <t>Accessories</t>
  </si>
  <si>
    <t>Huawei</t>
  </si>
  <si>
    <t>Asus</t>
  </si>
  <si>
    <t>Sunglasses</t>
  </si>
  <si>
    <t>Oakley</t>
  </si>
  <si>
    <t>Camping Tent</t>
  </si>
  <si>
    <t>Coleman</t>
  </si>
  <si>
    <t>Camera</t>
  </si>
  <si>
    <t>Nikon</t>
  </si>
  <si>
    <t>Microwave</t>
  </si>
  <si>
    <t>Panasonic</t>
  </si>
  <si>
    <t>Fitness Tracker</t>
  </si>
  <si>
    <t>Xiaomi</t>
  </si>
  <si>
    <t>Smartphone</t>
  </si>
  <si>
    <t>Google</t>
  </si>
  <si>
    <t>Ray-Ban</t>
  </si>
  <si>
    <t>Vitamix</t>
  </si>
  <si>
    <t>Dress</t>
  </si>
  <si>
    <t>Zara</t>
  </si>
  <si>
    <t>Toaster</t>
  </si>
  <si>
    <t>Hamilton</t>
  </si>
  <si>
    <t>Garmin</t>
  </si>
  <si>
    <t>Jeans</t>
  </si>
  <si>
    <t>Levi's</t>
  </si>
  <si>
    <t>Watch</t>
  </si>
  <si>
    <t>Casio</t>
  </si>
  <si>
    <t>Perform the following in the dataset from the 'Dataset' sheet.</t>
  </si>
  <si>
    <t>1) Handling Missing Values:</t>
  </si>
  <si>
    <t>• Check for missing values in the 'Price' column. How would you handle products with missing price information?</t>
  </si>
  <si>
    <t>• If there are products with missing categories, propose a strategy to impute or deal with these missing values effectively.</t>
  </si>
  <si>
    <t>2) Correcting Inconsistent Data:</t>
  </si>
  <si>
    <t>• Identify any inconsistent text formats present in the "Product Name" column.</t>
  </si>
  <si>
    <t>• Identify any typos present in the "Category" column.</t>
  </si>
  <si>
    <t>• Use the find and replace function to standardize the text formats in the "Product Name" column and fix any typos or misspellings in the "Category" column.</t>
  </si>
  <si>
    <t>3) Removing Duplicates:</t>
  </si>
  <si>
    <t>• Identify any duplicate rows within the dataset based on the entirety of each row, and remove them if any.</t>
  </si>
  <si>
    <t>4) Splitting and Merging Data:</t>
  </si>
  <si>
    <t>• Split the "Product ID" column into two separate columns for " Manufacturing Date" and "Country Code". Remove unnecessary characters, if any.</t>
  </si>
  <si>
    <t>• Merge the "Brand Name" and "Product Name" columns into one column named "Product Brand".</t>
  </si>
  <si>
    <t>5) Number Formatting:</t>
  </si>
  <si>
    <t>• Format the data type of the "Price" column to currency format.</t>
  </si>
  <si>
    <t>• Format the "Manufacturing Date" column to display dates in the "DD-MM-YYYY " format.</t>
  </si>
  <si>
    <t>6) Conditional Formatting:</t>
  </si>
  <si>
    <t>• Apply data bar or color scales conditional formatting in the "Price" column.</t>
  </si>
  <si>
    <t>• Create a custom rule for conditional formatting in the "Category" column to highlight cells where the category is "Electronics."</t>
  </si>
  <si>
    <t>Missing Values in Price Column</t>
  </si>
  <si>
    <t>Imputed - Price ($)</t>
  </si>
  <si>
    <t>Median of Price ($) - Imputed Data</t>
  </si>
  <si>
    <t>Imputed - Category</t>
  </si>
  <si>
    <t>Imputed Data - Category</t>
  </si>
  <si>
    <t>Inconsistent text has been formatted</t>
  </si>
  <si>
    <t>Tyoos of Electronics has been replaced.</t>
  </si>
  <si>
    <t>Used the find and replace function to standardize the text formats in the "Product Name" column and fixed typos or misspellings in the "Category" column.</t>
  </si>
  <si>
    <t>Three Duplicate Rows has been removed.</t>
  </si>
  <si>
    <t>Manufacturing Date</t>
  </si>
  <si>
    <t>Country Code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</si>
  <si>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</si>
  <si>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</si>
  <si>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</si>
  <si>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</si>
  <si>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</si>
  <si>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</si>
  <si>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</si>
  <si>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</si>
  <si>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</si>
  <si>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</si>
  <si>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</si>
  <si>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</si>
  <si>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Product Brand</t>
  </si>
  <si>
    <t>Removed 3 duplicates in the dataset.</t>
  </si>
  <si>
    <t>Splitted the "Product ID" column into two separate columns for " Manufacturing Date" and "Country Code".</t>
  </si>
  <si>
    <t>Merged the "Brand Name" and "Product Name" columns into one column named "Product Brand".</t>
  </si>
  <si>
    <t>Changed price colum to curreny format</t>
  </si>
  <si>
    <t>Changed the date format</t>
  </si>
  <si>
    <t>Applied Color Scale for Price column</t>
  </si>
  <si>
    <t>Found the 4 blank category data and imputed the respective categories for Backpack North Face mentioned as "Unknown".</t>
  </si>
  <si>
    <t>Highligted the "Electronics" by using the New Rule in Conditional Formatting.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</si>
</sst>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[$₹-4009]\ #,##0.00"/>
    <numFmt numFmtId="169" formatCode="[$-409]d\-mmm\-yyyy;@"/>
  </numFmts>
  <fonts count="7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Aptos Narrow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 wrapText="1"/>
    </xf>
    <xf numFmtId="167" fontId="1" fillId="0" borderId="1" xfId="0" applyNumberFormat="1" applyFont="1" applyFill="1" applyBorder="1" applyAlignment="1">
      <alignment horizontal="center" vertical="center" wrapText="1"/>
    </xf>
    <xf numFmtId="169" fontId="1" fillId="0" borderId="3" xfId="0" applyNumberFormat="1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169" fontId="1" fillId="0" borderId="8" xfId="0" applyNumberFormat="1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 wrapText="1"/>
    </xf>
    <xf numFmtId="167" fontId="1" fillId="0" borderId="2" xfId="0" applyNumberFormat="1" applyFont="1" applyFill="1" applyBorder="1" applyAlignment="1">
      <alignment horizontal="center" vertical="center" wrapText="1"/>
    </xf>
    <xf numFmtId="0" fontId="1" fillId="0" borderId="9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4" borderId="6" xfId="0" applyFont="1" applyFill="1" applyBorder="1" applyAlignment="1">
      <alignment horizontal="center" vertical="center" wrapText="1"/>
    </xf>
    <xf numFmtId="0" fontId="6" fillId="4" borderId="7" xfId="0" applyFont="1" applyFill="1" applyBorder="1" applyAlignment="1">
      <alignment horizontal="center" vertical="center"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7" formatCode="[$₹-4009]\ #,##0.00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9" formatCode="[$-409]d\-mmm\-yyyy;@"/>
      <fill>
        <patternFill patternType="none">
          <fgColor indexed="64"/>
          <bgColor auto="1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rgb="FFFFC000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/>
        <strike val="0"/>
        <color theme="1" tint="4.9989318521683403E-2"/>
      </font>
    </dxf>
    <dxf>
      <font>
        <b/>
        <i/>
        <color rgb="FFFF0000"/>
      </font>
    </dxf>
    <dxf>
      <font>
        <b/>
        <i/>
        <strike val="0"/>
        <color theme="1" tint="4.9989318521683403E-2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127AA65-04E4-41D0-92A0-41169D823144}" name="Dataset" displayName="Dataset" ref="A1:J32" totalsRowShown="0" headerRowDxfId="11" dataDxfId="0" headerRowBorderDxfId="13" tableBorderDxfId="14" totalsRowBorderDxfId="12">
  <autoFilter ref="A1:J32" xr:uid="{5127AA65-04E4-41D0-92A0-41169D823144}"/>
  <tableColumns count="10">
    <tableColumn id="1" xr3:uid="{BFF759C3-F2CE-485E-8F0D-9AB475FE8621}" name="Manufacturing Date" dataDxfId="10"/>
    <tableColumn id="2" xr3:uid="{D652E02E-6965-4FE9-AB01-FA935E4112F0}" name="Country Code" dataDxfId="9"/>
    <tableColumn id="3" xr3:uid="{DE5377BF-7346-4D52-806C-C37B63287778}" name="Product Name" dataDxfId="8"/>
    <tableColumn id="4" xr3:uid="{881EEEC3-FA04-47E4-9EF2-3BA2166D40BF}" name="Brand Name" dataDxfId="7"/>
    <tableColumn id="5" xr3:uid="{F1238E01-E379-4C9C-A394-38B56A252762}" name="Product Brand" dataDxfId="6">
      <calculatedColumnFormula>CONCATENATE(C2," ",D2)</calculatedColumnFormula>
    </tableColumn>
    <tableColumn id="6" xr3:uid="{D7952F69-73F0-409E-863F-41A07D1125C4}" name="Price ($)" dataDxfId="5"/>
    <tableColumn id="7" xr3:uid="{E1753565-2245-4379-8D4C-7CFDD94BF872}" name="Imputed - Price ($)" dataDxfId="4">
      <calculatedColumnFormula>IF(ISBLANK(F2),"130",F2)</calculatedColumnFormula>
    </tableColumn>
    <tableColumn id="8" xr3:uid="{6D16C9E1-44F0-4CB1-A646-C167FC9D50A4}" name="Quantity" dataDxfId="3"/>
    <tableColumn id="9" xr3:uid="{34E40F17-0FCF-4F04-94B8-DABD26F24447}" name="Category" dataDxfId="2"/>
    <tableColumn id="10" xr3:uid="{28B04E12-5274-4533-ADE4-FAE5E7734AAA}" name="Imputed - Category" dataDxfId="1">
      <calculatedColumnFormula>IF(ISBLANK(I2),"Unknown",I2)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AB176-051B-4616-877B-585263EAEEAB}">
  <dimension ref="A1:K25"/>
  <sheetViews>
    <sheetView workbookViewId="0">
      <selection activeCell="C25" sqref="C25"/>
    </sheetView>
  </sheetViews>
  <sheetFormatPr defaultRowHeight="14.5" x14ac:dyDescent="0.35"/>
  <sheetData>
    <row r="1" spans="1:11" x14ac:dyDescent="0.35">
      <c r="A1" s="2" t="s">
        <v>61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x14ac:dyDescent="0.35">
      <c r="A2" s="3"/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 ht="15" x14ac:dyDescent="0.35">
      <c r="A3" s="3"/>
      <c r="B3" s="4" t="s">
        <v>62</v>
      </c>
      <c r="C3" s="3"/>
      <c r="D3" s="3"/>
      <c r="E3" s="3"/>
      <c r="F3" s="3"/>
      <c r="G3" s="3"/>
      <c r="H3" s="3"/>
      <c r="I3" s="3"/>
      <c r="J3" s="3"/>
      <c r="K3" s="3"/>
    </row>
    <row r="4" spans="1:11" ht="15.5" x14ac:dyDescent="0.35">
      <c r="A4" s="3"/>
      <c r="B4" s="3"/>
      <c r="C4" s="5" t="s">
        <v>63</v>
      </c>
      <c r="D4" s="3"/>
      <c r="E4" s="3"/>
      <c r="F4" s="3"/>
      <c r="G4" s="3"/>
      <c r="H4" s="3"/>
      <c r="I4" s="3"/>
      <c r="J4" s="3"/>
      <c r="K4" s="3"/>
    </row>
    <row r="5" spans="1:11" ht="15.5" x14ac:dyDescent="0.35">
      <c r="A5" s="3"/>
      <c r="B5" s="3"/>
      <c r="C5" s="5" t="s">
        <v>64</v>
      </c>
      <c r="D5" s="3"/>
      <c r="E5" s="3"/>
      <c r="F5" s="3"/>
      <c r="G5" s="3"/>
      <c r="H5" s="3"/>
      <c r="I5" s="3"/>
      <c r="J5" s="3"/>
      <c r="K5" s="3"/>
    </row>
    <row r="6" spans="1:11" x14ac:dyDescent="0.35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" x14ac:dyDescent="0.35">
      <c r="A7" s="3"/>
      <c r="B7" s="4" t="s">
        <v>65</v>
      </c>
      <c r="C7" s="3"/>
      <c r="D7" s="3"/>
      <c r="E7" s="3"/>
      <c r="F7" s="3"/>
      <c r="G7" s="3"/>
      <c r="H7" s="3"/>
      <c r="I7" s="3"/>
      <c r="J7" s="3"/>
      <c r="K7" s="3"/>
    </row>
    <row r="8" spans="1:11" ht="15.5" x14ac:dyDescent="0.35">
      <c r="A8" s="3"/>
      <c r="B8" s="3"/>
      <c r="C8" s="5" t="s">
        <v>66</v>
      </c>
      <c r="D8" s="3"/>
      <c r="E8" s="3"/>
      <c r="F8" s="3"/>
      <c r="G8" s="3"/>
      <c r="H8" s="3"/>
      <c r="I8" s="3"/>
      <c r="J8" s="3"/>
      <c r="K8" s="3"/>
    </row>
    <row r="9" spans="1:11" ht="15.5" x14ac:dyDescent="0.35">
      <c r="A9" s="3"/>
      <c r="B9" s="3"/>
      <c r="C9" s="5" t="s">
        <v>67</v>
      </c>
      <c r="D9" s="3"/>
      <c r="E9" s="3"/>
      <c r="F9" s="3"/>
      <c r="G9" s="3"/>
      <c r="H9" s="3"/>
      <c r="I9" s="3"/>
      <c r="J9" s="3"/>
      <c r="K9" s="3"/>
    </row>
    <row r="10" spans="1:11" ht="15.5" x14ac:dyDescent="0.35">
      <c r="A10" s="3"/>
      <c r="B10" s="3"/>
      <c r="C10" s="5" t="s">
        <v>68</v>
      </c>
      <c r="D10" s="3"/>
      <c r="E10" s="3"/>
      <c r="F10" s="3"/>
      <c r="G10" s="3"/>
      <c r="H10" s="3"/>
      <c r="I10" s="3"/>
      <c r="J10" s="3"/>
      <c r="K10" s="3"/>
    </row>
    <row r="11" spans="1:1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" x14ac:dyDescent="0.35">
      <c r="A12" s="3"/>
      <c r="B12" s="4" t="s">
        <v>69</v>
      </c>
      <c r="C12" s="3"/>
      <c r="D12" s="3"/>
      <c r="E12" s="3"/>
      <c r="F12" s="3"/>
      <c r="G12" s="3"/>
      <c r="H12" s="3"/>
      <c r="I12" s="3"/>
      <c r="J12" s="3"/>
      <c r="K12" s="3"/>
    </row>
    <row r="13" spans="1:11" ht="15.5" x14ac:dyDescent="0.35">
      <c r="A13" s="3"/>
      <c r="B13" s="3"/>
      <c r="C13" s="5" t="s">
        <v>70</v>
      </c>
      <c r="D13" s="3"/>
      <c r="E13" s="3"/>
      <c r="F13" s="3"/>
      <c r="G13" s="3"/>
      <c r="H13" s="3"/>
      <c r="I13" s="3"/>
      <c r="J13" s="3"/>
      <c r="K13" s="3"/>
    </row>
    <row r="14" spans="1:1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" x14ac:dyDescent="0.35">
      <c r="A15" s="3"/>
      <c r="B15" s="4" t="s">
        <v>71</v>
      </c>
      <c r="C15" s="3"/>
      <c r="D15" s="3"/>
      <c r="E15" s="3"/>
      <c r="F15" s="3"/>
      <c r="G15" s="3"/>
      <c r="H15" s="3"/>
      <c r="I15" s="3"/>
      <c r="J15" s="3"/>
      <c r="K15" s="3"/>
    </row>
    <row r="16" spans="1:11" ht="15.5" x14ac:dyDescent="0.35">
      <c r="A16" s="3"/>
      <c r="B16" s="3"/>
      <c r="C16" s="5" t="s">
        <v>72</v>
      </c>
      <c r="D16" s="3"/>
      <c r="E16" s="3"/>
      <c r="F16" s="3"/>
      <c r="G16" s="3"/>
      <c r="H16" s="3"/>
      <c r="I16" s="3"/>
      <c r="J16" s="3"/>
      <c r="K16" s="3"/>
    </row>
    <row r="17" spans="1:11" ht="15.5" x14ac:dyDescent="0.35">
      <c r="A17" s="3"/>
      <c r="B17" s="3"/>
      <c r="C17" s="5" t="s">
        <v>73</v>
      </c>
      <c r="D17" s="3"/>
      <c r="E17" s="3"/>
      <c r="F17" s="3"/>
      <c r="G17" s="3"/>
      <c r="H17" s="3"/>
      <c r="I17" s="3"/>
      <c r="J17" s="3"/>
      <c r="K17" s="3"/>
    </row>
    <row r="18" spans="1:1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" x14ac:dyDescent="0.35">
      <c r="A19" s="3"/>
      <c r="B19" s="4" t="s">
        <v>74</v>
      </c>
      <c r="C19" s="3"/>
      <c r="D19" s="3"/>
      <c r="E19" s="3"/>
      <c r="F19" s="3"/>
      <c r="G19" s="3"/>
      <c r="H19" s="3"/>
      <c r="I19" s="3"/>
      <c r="J19" s="3"/>
      <c r="K19" s="3"/>
    </row>
    <row r="20" spans="1:11" ht="15.5" x14ac:dyDescent="0.35">
      <c r="A20" s="3"/>
      <c r="B20" s="3"/>
      <c r="C20" s="5" t="s">
        <v>75</v>
      </c>
      <c r="D20" s="3"/>
      <c r="E20" s="3"/>
      <c r="F20" s="3"/>
      <c r="G20" s="3"/>
      <c r="H20" s="3"/>
      <c r="I20" s="3"/>
      <c r="J20" s="3"/>
      <c r="K20" s="3"/>
    </row>
    <row r="21" spans="1:11" ht="15.5" x14ac:dyDescent="0.35">
      <c r="A21" s="3"/>
      <c r="B21" s="3"/>
      <c r="C21" s="5" t="s">
        <v>76</v>
      </c>
      <c r="D21" s="3"/>
      <c r="E21" s="3"/>
      <c r="F21" s="3"/>
      <c r="G21" s="3"/>
      <c r="H21" s="3"/>
      <c r="I21" s="3"/>
      <c r="J21" s="3"/>
      <c r="K21" s="3"/>
    </row>
    <row r="22" spans="1:1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5" x14ac:dyDescent="0.35">
      <c r="A23" s="3"/>
      <c r="B23" s="4" t="s">
        <v>77</v>
      </c>
      <c r="C23" s="3"/>
      <c r="D23" s="3"/>
      <c r="E23" s="3"/>
      <c r="F23" s="3"/>
      <c r="G23" s="3"/>
      <c r="H23" s="3"/>
      <c r="I23" s="3"/>
      <c r="J23" s="3"/>
      <c r="K23" s="3"/>
    </row>
    <row r="24" spans="1:11" ht="15.5" x14ac:dyDescent="0.35">
      <c r="A24" s="3"/>
      <c r="B24" s="3"/>
      <c r="C24" s="5" t="s">
        <v>78</v>
      </c>
      <c r="D24" s="3"/>
      <c r="E24" s="3"/>
      <c r="F24" s="3"/>
      <c r="G24" s="3"/>
      <c r="H24" s="3"/>
      <c r="I24" s="3"/>
      <c r="J24" s="3"/>
      <c r="K24" s="3"/>
    </row>
    <row r="25" spans="1:11" ht="15.5" x14ac:dyDescent="0.35">
      <c r="A25" s="3"/>
      <c r="B25" s="3"/>
      <c r="C25" s="5" t="s">
        <v>79</v>
      </c>
      <c r="D25" s="3"/>
      <c r="E25" s="3"/>
      <c r="F25" s="3"/>
      <c r="G25" s="3"/>
      <c r="H25" s="3"/>
      <c r="I25" s="3"/>
      <c r="J25" s="3"/>
      <c r="K25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5CECD-AC25-4689-B95B-999A98AAA07D}">
  <dimension ref="A1:N35"/>
  <sheetViews>
    <sheetView tabSelected="1" zoomScale="70" zoomScaleNormal="70" workbookViewId="0"/>
  </sheetViews>
  <sheetFormatPr defaultRowHeight="14.5" x14ac:dyDescent="0.35"/>
  <cols>
    <col min="1" max="1" width="21.08984375" style="1" customWidth="1"/>
    <col min="2" max="2" width="15.36328125" style="1" customWidth="1"/>
    <col min="3" max="3" width="15.54296875" style="1" customWidth="1"/>
    <col min="4" max="4" width="13.90625" style="1" customWidth="1"/>
    <col min="5" max="5" width="17.81640625" style="1" customWidth="1"/>
    <col min="6" max="6" width="10.36328125" style="1" customWidth="1"/>
    <col min="7" max="7" width="19.453125" style="1" customWidth="1"/>
    <col min="8" max="8" width="10.36328125" style="1" customWidth="1"/>
    <col min="9" max="9" width="11.36328125" style="1" customWidth="1"/>
    <col min="10" max="10" width="20.08984375" style="1" customWidth="1"/>
    <col min="11" max="12" width="8.7265625" style="1"/>
    <col min="13" max="13" width="38.90625" style="1" customWidth="1"/>
    <col min="14" max="14" width="35.90625" style="1" customWidth="1"/>
    <col min="15" max="16384" width="8.7265625" style="1"/>
  </cols>
  <sheetData>
    <row r="1" spans="1:14" x14ac:dyDescent="0.35">
      <c r="A1" s="22" t="s">
        <v>89</v>
      </c>
      <c r="B1" s="23" t="s">
        <v>90</v>
      </c>
      <c r="C1" s="23" t="s">
        <v>0</v>
      </c>
      <c r="D1" s="23" t="s">
        <v>1</v>
      </c>
      <c r="E1" s="23" t="s">
        <v>103</v>
      </c>
      <c r="F1" s="23" t="s">
        <v>2</v>
      </c>
      <c r="G1" s="23" t="s">
        <v>81</v>
      </c>
      <c r="H1" s="23" t="s">
        <v>3</v>
      </c>
      <c r="I1" s="23" t="s">
        <v>4</v>
      </c>
      <c r="J1" s="24" t="s">
        <v>83</v>
      </c>
    </row>
    <row r="2" spans="1:14" x14ac:dyDescent="0.35">
      <c r="A2" s="16">
        <v>46050</v>
      </c>
      <c r="B2" s="14" t="s">
        <v>91</v>
      </c>
      <c r="C2" s="14" t="s">
        <v>27</v>
      </c>
      <c r="D2" s="14" t="s">
        <v>5</v>
      </c>
      <c r="E2" s="14" t="str">
        <f>CONCATENATE(C2," ",D2)</f>
        <v>Laptop Dell</v>
      </c>
      <c r="F2" s="14">
        <v>1000</v>
      </c>
      <c r="G2" s="15">
        <f>IF(ISBLANK(F2),"130",F2)</f>
        <v>1000</v>
      </c>
      <c r="H2" s="14">
        <v>30</v>
      </c>
      <c r="I2" s="14" t="s">
        <v>6</v>
      </c>
      <c r="J2" s="17" t="str">
        <f>IF(ISBLANK(I2),"Unknown",I2)</f>
        <v>Electronics</v>
      </c>
    </row>
    <row r="3" spans="1:14" x14ac:dyDescent="0.35">
      <c r="A3" s="16">
        <v>46068</v>
      </c>
      <c r="B3" s="14" t="s">
        <v>91</v>
      </c>
      <c r="C3" s="14" t="s">
        <v>7</v>
      </c>
      <c r="D3" s="14" t="s">
        <v>8</v>
      </c>
      <c r="E3" s="14" t="str">
        <f>CONCATENATE(C3," ",D3)</f>
        <v>Sneakers Nike</v>
      </c>
      <c r="F3" s="14">
        <v>80</v>
      </c>
      <c r="G3" s="15">
        <f>IF(ISBLANK(F3),"130",F3)</f>
        <v>80</v>
      </c>
      <c r="H3" s="14">
        <v>15</v>
      </c>
      <c r="I3" s="14" t="s">
        <v>9</v>
      </c>
      <c r="J3" s="17" t="str">
        <f>IF(ISBLANK(I3),"Unknown",I3)</f>
        <v>Fashion</v>
      </c>
    </row>
    <row r="4" spans="1:14" x14ac:dyDescent="0.35">
      <c r="A4" s="16">
        <v>46084</v>
      </c>
      <c r="B4" s="14" t="s">
        <v>91</v>
      </c>
      <c r="C4" s="14" t="s">
        <v>10</v>
      </c>
      <c r="D4" s="14" t="s">
        <v>11</v>
      </c>
      <c r="E4" s="14" t="str">
        <f>CONCATENATE(C4," ",D4)</f>
        <v>Coffee Maker Keurig</v>
      </c>
      <c r="F4" s="14">
        <v>130</v>
      </c>
      <c r="G4" s="15">
        <f>IF(ISBLANK(F4),"130",F4)</f>
        <v>130</v>
      </c>
      <c r="H4" s="14">
        <v>40</v>
      </c>
      <c r="I4" s="14" t="s">
        <v>12</v>
      </c>
      <c r="J4" s="17" t="str">
        <f>IF(ISBLANK(I4),"Unknown",I4)</f>
        <v>Kitchen</v>
      </c>
    </row>
    <row r="5" spans="1:14" ht="25" x14ac:dyDescent="0.35">
      <c r="A5" s="16">
        <v>46123</v>
      </c>
      <c r="B5" s="14" t="s">
        <v>91</v>
      </c>
      <c r="C5" s="14" t="s">
        <v>48</v>
      </c>
      <c r="D5" s="14" t="s">
        <v>13</v>
      </c>
      <c r="E5" s="14" t="str">
        <f>CONCATENATE(C5," ",D5)</f>
        <v>Smartphone Samsung</v>
      </c>
      <c r="F5" s="14">
        <v>900</v>
      </c>
      <c r="G5" s="15">
        <f>IF(ISBLANK(F5),"130",F5)</f>
        <v>900</v>
      </c>
      <c r="H5" s="14">
        <v>25</v>
      </c>
      <c r="I5" s="14" t="s">
        <v>6</v>
      </c>
      <c r="J5" s="17" t="str">
        <f>IF(ISBLANK(I5),"Unknown",I5)</f>
        <v>Electronics</v>
      </c>
      <c r="L5" s="7">
        <v>1</v>
      </c>
      <c r="M5" s="6" t="s">
        <v>80</v>
      </c>
      <c r="N5" s="8">
        <f>COUNTBLANK(F2:F35)</f>
        <v>6</v>
      </c>
    </row>
    <row r="6" spans="1:14" ht="25" x14ac:dyDescent="0.35">
      <c r="A6" s="16">
        <v>46164</v>
      </c>
      <c r="B6" s="14" t="s">
        <v>91</v>
      </c>
      <c r="C6" s="14" t="s">
        <v>14</v>
      </c>
      <c r="D6" s="14" t="s">
        <v>15</v>
      </c>
      <c r="E6" s="14" t="str">
        <f>CONCATENATE(C6," ",D6)</f>
        <v>Backpack North Face</v>
      </c>
      <c r="F6" s="14">
        <v>70</v>
      </c>
      <c r="G6" s="15">
        <f>IF(ISBLANK(F6),"130",F6)</f>
        <v>70</v>
      </c>
      <c r="H6" s="14">
        <v>20</v>
      </c>
      <c r="I6" s="14"/>
      <c r="J6" s="17" t="str">
        <f>IF(ISBLANK(I6),"Unknown",I6)</f>
        <v>Unknown</v>
      </c>
      <c r="L6" s="9"/>
      <c r="M6" s="10" t="s">
        <v>82</v>
      </c>
      <c r="N6" s="8">
        <v>130</v>
      </c>
    </row>
    <row r="7" spans="1:14" ht="58" x14ac:dyDescent="0.35">
      <c r="A7" s="16">
        <v>46180</v>
      </c>
      <c r="B7" s="14" t="s">
        <v>92</v>
      </c>
      <c r="C7" s="14" t="s">
        <v>16</v>
      </c>
      <c r="D7" s="14" t="s">
        <v>17</v>
      </c>
      <c r="E7" s="14" t="str">
        <f>CONCATENATE(C7," ",D7)</f>
        <v>Headphones Sony</v>
      </c>
      <c r="F7" s="14"/>
      <c r="G7" s="15">
        <v>130</v>
      </c>
      <c r="H7" s="14">
        <v>45</v>
      </c>
      <c r="I7" s="14" t="s">
        <v>6</v>
      </c>
      <c r="J7" s="17" t="str">
        <f>IF(ISBLANK(I7),"Unknown",I7)</f>
        <v>Electronics</v>
      </c>
      <c r="L7" s="9"/>
      <c r="M7" s="6" t="s">
        <v>84</v>
      </c>
      <c r="N7" s="13" t="s">
        <v>110</v>
      </c>
    </row>
    <row r="8" spans="1:14" x14ac:dyDescent="0.35">
      <c r="A8" s="16">
        <v>46222</v>
      </c>
      <c r="B8" s="14" t="s">
        <v>92</v>
      </c>
      <c r="C8" s="14" t="s">
        <v>18</v>
      </c>
      <c r="D8" s="14" t="s">
        <v>19</v>
      </c>
      <c r="E8" s="14" t="str">
        <f>CONCATENATE(C8," ",D8)</f>
        <v>T-shirt Adidas</v>
      </c>
      <c r="F8" s="14">
        <v>30</v>
      </c>
      <c r="G8" s="15">
        <f>IF(ISBLANK(F8),"130",F8)</f>
        <v>30</v>
      </c>
      <c r="H8" s="14">
        <v>5</v>
      </c>
      <c r="I8" s="14" t="s">
        <v>9</v>
      </c>
      <c r="J8" s="17" t="str">
        <f>IF(ISBLANK(I8),"Unknown",I8)</f>
        <v>Fashion</v>
      </c>
      <c r="L8" s="9"/>
      <c r="M8" s="11"/>
    </row>
    <row r="9" spans="1:14" x14ac:dyDescent="0.35">
      <c r="A9" s="16">
        <v>46257</v>
      </c>
      <c r="B9" s="14" t="s">
        <v>92</v>
      </c>
      <c r="C9" s="14" t="s">
        <v>20</v>
      </c>
      <c r="D9" s="14" t="s">
        <v>21</v>
      </c>
      <c r="E9" s="14" t="str">
        <f>CONCATENATE(C9," ",D9)</f>
        <v>Blender Ninja</v>
      </c>
      <c r="F9" s="14">
        <v>90</v>
      </c>
      <c r="G9" s="15">
        <f>IF(ISBLANK(F9),"130",F9)</f>
        <v>90</v>
      </c>
      <c r="H9" s="14">
        <v>35</v>
      </c>
      <c r="I9" s="14" t="s">
        <v>12</v>
      </c>
      <c r="J9" s="17" t="str">
        <f>IF(ISBLANK(I9),"Unknown",I9)</f>
        <v>Kitchen</v>
      </c>
      <c r="L9" s="7">
        <v>2</v>
      </c>
      <c r="M9" s="6" t="s">
        <v>85</v>
      </c>
    </row>
    <row r="10" spans="1:14" x14ac:dyDescent="0.35">
      <c r="A10" s="16">
        <v>46270</v>
      </c>
      <c r="B10" s="14" t="s">
        <v>92</v>
      </c>
      <c r="C10" s="14" t="s">
        <v>22</v>
      </c>
      <c r="D10" s="14" t="s">
        <v>23</v>
      </c>
      <c r="E10" s="14" t="str">
        <f>CONCATENATE(C10," ",D10)</f>
        <v>Tablet Apple</v>
      </c>
      <c r="F10" s="14">
        <v>500</v>
      </c>
      <c r="G10" s="15">
        <f>IF(ISBLANK(F10),"130",F10)</f>
        <v>500</v>
      </c>
      <c r="H10" s="14">
        <v>50</v>
      </c>
      <c r="I10" s="14" t="s">
        <v>6</v>
      </c>
      <c r="J10" s="17" t="str">
        <f>IF(ISBLANK(I10),"Unknown",I10)</f>
        <v>Electronics</v>
      </c>
      <c r="L10" s="9"/>
      <c r="M10" s="6" t="s">
        <v>86</v>
      </c>
    </row>
    <row r="11" spans="1:14" ht="58" x14ac:dyDescent="0.35">
      <c r="A11" s="16">
        <v>46309</v>
      </c>
      <c r="B11" s="14" t="s">
        <v>92</v>
      </c>
      <c r="C11" s="14" t="s">
        <v>24</v>
      </c>
      <c r="D11" s="14" t="s">
        <v>25</v>
      </c>
      <c r="E11" s="14" t="str">
        <f>CONCATENATE(C11," ",D11)</f>
        <v>Hiking Boots Timberland</v>
      </c>
      <c r="F11" s="14">
        <v>130</v>
      </c>
      <c r="G11" s="15">
        <f>IF(ISBLANK(F11),"130",F11)</f>
        <v>130</v>
      </c>
      <c r="H11" s="14">
        <v>10</v>
      </c>
      <c r="I11" s="14" t="s">
        <v>26</v>
      </c>
      <c r="J11" s="17" t="str">
        <f>IF(ISBLANK(I11),"Unknown",I11)</f>
        <v>Outdoor</v>
      </c>
      <c r="L11" s="9"/>
      <c r="M11" s="12" t="s">
        <v>87</v>
      </c>
    </row>
    <row r="12" spans="1:14" x14ac:dyDescent="0.35">
      <c r="A12" s="16">
        <v>46190</v>
      </c>
      <c r="B12" s="14" t="s">
        <v>93</v>
      </c>
      <c r="C12" s="14" t="s">
        <v>27</v>
      </c>
      <c r="D12" s="14" t="s">
        <v>28</v>
      </c>
      <c r="E12" s="14" t="str">
        <f>CONCATENATE(C12," ",D12)</f>
        <v>Laptop HP</v>
      </c>
      <c r="F12" s="14">
        <v>950</v>
      </c>
      <c r="G12" s="15">
        <f>IF(ISBLANK(F12),"130",F12)</f>
        <v>950</v>
      </c>
      <c r="H12" s="14">
        <v>25</v>
      </c>
      <c r="I12" s="14" t="s">
        <v>6</v>
      </c>
      <c r="J12" s="17" t="str">
        <f>IF(ISBLANK(I12),"Unknown",I12)</f>
        <v>Electronics</v>
      </c>
      <c r="L12" s="9"/>
      <c r="M12" s="12" t="s">
        <v>88</v>
      </c>
    </row>
    <row r="13" spans="1:14" x14ac:dyDescent="0.35">
      <c r="A13" s="16">
        <v>46351</v>
      </c>
      <c r="B13" s="14" t="s">
        <v>94</v>
      </c>
      <c r="C13" s="14" t="s">
        <v>7</v>
      </c>
      <c r="D13" s="14" t="s">
        <v>19</v>
      </c>
      <c r="E13" s="14" t="str">
        <f>CONCATENATE(C13," ",D13)</f>
        <v>Sneakers Adidas</v>
      </c>
      <c r="F13" s="14">
        <v>90</v>
      </c>
      <c r="G13" s="15">
        <f>IF(ISBLANK(F13),"130",F13)</f>
        <v>90</v>
      </c>
      <c r="H13" s="14">
        <v>40</v>
      </c>
      <c r="I13" s="14"/>
      <c r="J13" s="17" t="str">
        <f>IF(ISBLANK(I13),"Fashion",I13)</f>
        <v>Fashion</v>
      </c>
    </row>
    <row r="14" spans="1:14" ht="25" x14ac:dyDescent="0.35">
      <c r="A14" s="16">
        <v>46364</v>
      </c>
      <c r="B14" s="14" t="s">
        <v>95</v>
      </c>
      <c r="C14" s="14" t="s">
        <v>10</v>
      </c>
      <c r="D14" s="14" t="s">
        <v>29</v>
      </c>
      <c r="E14" s="14" t="str">
        <f>CONCATENATE(C14," ",D14)</f>
        <v>Coffee Maker Nespresso</v>
      </c>
      <c r="F14" s="14">
        <v>120</v>
      </c>
      <c r="G14" s="15">
        <f>IF(ISBLANK(F14),"130",F14)</f>
        <v>120</v>
      </c>
      <c r="H14" s="14">
        <v>35</v>
      </c>
      <c r="I14" s="14"/>
      <c r="J14" s="17" t="str">
        <f>IF(ISBLANK(I14),"Kitchen",I14)</f>
        <v>Kitchen</v>
      </c>
      <c r="L14" s="7">
        <v>3</v>
      </c>
      <c r="M14" s="6" t="s">
        <v>104</v>
      </c>
    </row>
    <row r="15" spans="1:14" x14ac:dyDescent="0.35">
      <c r="A15" s="16">
        <v>46071</v>
      </c>
      <c r="B15" s="14" t="s">
        <v>96</v>
      </c>
      <c r="C15" s="14" t="s">
        <v>30</v>
      </c>
      <c r="D15" s="14" t="s">
        <v>31</v>
      </c>
      <c r="E15" s="14" t="str">
        <f>CONCATENATE(C15," ",D15)</f>
        <v>Smartwatch Fitbit</v>
      </c>
      <c r="F15" s="14">
        <v>150</v>
      </c>
      <c r="G15" s="15">
        <f>IF(ISBLANK(F15),"130",F15)</f>
        <v>150</v>
      </c>
      <c r="H15" s="14">
        <v>15</v>
      </c>
      <c r="I15" s="14" t="s">
        <v>6</v>
      </c>
      <c r="J15" s="17" t="str">
        <f>IF(ISBLANK(I15),"Unknown",I15)</f>
        <v>Electronics</v>
      </c>
    </row>
    <row r="16" spans="1:14" ht="43.5" x14ac:dyDescent="0.35">
      <c r="A16" s="16">
        <v>46128</v>
      </c>
      <c r="B16" s="14" t="s">
        <v>97</v>
      </c>
      <c r="C16" s="14" t="s">
        <v>16</v>
      </c>
      <c r="D16" s="14" t="s">
        <v>32</v>
      </c>
      <c r="E16" s="14" t="str">
        <f>CONCATENATE(C16," ",D16)</f>
        <v>Headphones Bose</v>
      </c>
      <c r="F16" s="14">
        <v>250</v>
      </c>
      <c r="G16" s="15">
        <f>IF(ISBLANK(F16),"130",F16)</f>
        <v>250</v>
      </c>
      <c r="H16" s="14">
        <v>20</v>
      </c>
      <c r="I16" s="14" t="s">
        <v>6</v>
      </c>
      <c r="J16" s="17" t="str">
        <f>IF(ISBLANK(I16),"Unknown",I16)</f>
        <v>Electronics</v>
      </c>
      <c r="L16" s="7">
        <v>4</v>
      </c>
      <c r="M16" s="12" t="s">
        <v>105</v>
      </c>
    </row>
    <row r="17" spans="1:13" ht="43.5" x14ac:dyDescent="0.35">
      <c r="A17" s="16">
        <v>46255</v>
      </c>
      <c r="B17" s="14" t="s">
        <v>96</v>
      </c>
      <c r="C17" s="14" t="s">
        <v>33</v>
      </c>
      <c r="D17" s="14" t="s">
        <v>34</v>
      </c>
      <c r="E17" s="14" t="str">
        <f>CONCATENATE(C17," ",D17)</f>
        <v>Laptop Bag Samsonite</v>
      </c>
      <c r="F17" s="14">
        <v>50</v>
      </c>
      <c r="G17" s="15">
        <f>IF(ISBLANK(F17),"130",F17)</f>
        <v>50</v>
      </c>
      <c r="H17" s="14">
        <v>35</v>
      </c>
      <c r="I17" s="14" t="s">
        <v>35</v>
      </c>
      <c r="J17" s="17" t="str">
        <f>IF(ISBLANK(I17),"Unknown",I17)</f>
        <v>Accessories</v>
      </c>
      <c r="M17" s="12" t="s">
        <v>106</v>
      </c>
    </row>
    <row r="18" spans="1:13" x14ac:dyDescent="0.35">
      <c r="A18" s="16">
        <v>46254</v>
      </c>
      <c r="B18" s="14" t="s">
        <v>98</v>
      </c>
      <c r="C18" s="14" t="s">
        <v>30</v>
      </c>
      <c r="D18" s="14" t="s">
        <v>36</v>
      </c>
      <c r="E18" s="14" t="str">
        <f>CONCATENATE(C18," ",D18)</f>
        <v>Smartwatch Huawei</v>
      </c>
      <c r="F18" s="14">
        <v>160</v>
      </c>
      <c r="G18" s="15">
        <f>IF(ISBLANK(F18),"130",F18)</f>
        <v>160</v>
      </c>
      <c r="H18" s="14">
        <v>15</v>
      </c>
      <c r="I18" s="14" t="s">
        <v>6</v>
      </c>
      <c r="J18" s="17" t="str">
        <f>IF(ISBLANK(I18),"Unknown",I18)</f>
        <v>Electronics</v>
      </c>
    </row>
    <row r="19" spans="1:13" x14ac:dyDescent="0.35">
      <c r="A19" s="16">
        <v>46049</v>
      </c>
      <c r="B19" s="14" t="s">
        <v>99</v>
      </c>
      <c r="C19" s="14" t="s">
        <v>27</v>
      </c>
      <c r="D19" s="14" t="s">
        <v>37</v>
      </c>
      <c r="E19" s="14" t="str">
        <f>CONCATENATE(C19," ",D19)</f>
        <v>Laptop Asus</v>
      </c>
      <c r="F19" s="14">
        <v>980</v>
      </c>
      <c r="G19" s="15">
        <f>IF(ISBLANK(F19),"130",F19)</f>
        <v>980</v>
      </c>
      <c r="H19" s="14">
        <v>10</v>
      </c>
      <c r="I19" s="14" t="s">
        <v>6</v>
      </c>
      <c r="J19" s="17" t="str">
        <f>IF(ISBLANK(I19),"Unknown",I19)</f>
        <v>Electronics</v>
      </c>
      <c r="L19" s="7">
        <v>5</v>
      </c>
      <c r="M19" s="12" t="s">
        <v>107</v>
      </c>
    </row>
    <row r="20" spans="1:13" x14ac:dyDescent="0.35">
      <c r="A20" s="16">
        <v>46082</v>
      </c>
      <c r="B20" s="14" t="s">
        <v>92</v>
      </c>
      <c r="C20" s="14" t="s">
        <v>38</v>
      </c>
      <c r="D20" s="14" t="s">
        <v>39</v>
      </c>
      <c r="E20" s="14" t="str">
        <f>CONCATENATE(C20," ",D20)</f>
        <v>Sunglasses Oakley</v>
      </c>
      <c r="F20" s="14">
        <v>150</v>
      </c>
      <c r="G20" s="15">
        <f>IF(ISBLANK(F20),"130",F20)</f>
        <v>150</v>
      </c>
      <c r="H20" s="14">
        <v>15</v>
      </c>
      <c r="I20" s="14" t="s">
        <v>9</v>
      </c>
      <c r="J20" s="17" t="str">
        <f>IF(ISBLANK(I20),"Unknown",I20)</f>
        <v>Fashion</v>
      </c>
      <c r="M20" s="12" t="s">
        <v>108</v>
      </c>
    </row>
    <row r="21" spans="1:13" ht="25" x14ac:dyDescent="0.35">
      <c r="A21" s="16">
        <v>46248</v>
      </c>
      <c r="B21" s="14" t="s">
        <v>91</v>
      </c>
      <c r="C21" s="14" t="s">
        <v>40</v>
      </c>
      <c r="D21" s="14" t="s">
        <v>41</v>
      </c>
      <c r="E21" s="14" t="str">
        <f>CONCATENATE(C21," ",D21)</f>
        <v>Camping Tent Coleman</v>
      </c>
      <c r="F21" s="14"/>
      <c r="G21" s="15">
        <v>130</v>
      </c>
      <c r="H21" s="14">
        <v>10</v>
      </c>
      <c r="I21" s="14" t="s">
        <v>26</v>
      </c>
      <c r="J21" s="17" t="str">
        <f>IF(ISBLANK(I21),"Unknown",I21)</f>
        <v>Outdoor</v>
      </c>
    </row>
    <row r="22" spans="1:13" x14ac:dyDescent="0.35">
      <c r="A22" s="16">
        <v>46156</v>
      </c>
      <c r="B22" s="14" t="s">
        <v>100</v>
      </c>
      <c r="C22" s="14" t="s">
        <v>42</v>
      </c>
      <c r="D22" s="14" t="s">
        <v>43</v>
      </c>
      <c r="E22" s="14" t="str">
        <f>CONCATENATE(C22," ",D22)</f>
        <v>Camera Nikon</v>
      </c>
      <c r="F22" s="14">
        <v>700</v>
      </c>
      <c r="G22" s="15">
        <f>IF(ISBLANK(F22),"130",F22)</f>
        <v>700</v>
      </c>
      <c r="H22" s="14">
        <v>50</v>
      </c>
      <c r="I22" s="14" t="s">
        <v>6</v>
      </c>
      <c r="J22" s="17" t="str">
        <f>IF(ISBLANK(I22),"Unknown",I22)</f>
        <v>Electronics</v>
      </c>
      <c r="L22" s="7">
        <v>6</v>
      </c>
      <c r="M22" s="12" t="s">
        <v>109</v>
      </c>
    </row>
    <row r="23" spans="1:13" ht="29" x14ac:dyDescent="0.35">
      <c r="A23" s="16">
        <v>46031</v>
      </c>
      <c r="B23" s="14" t="s">
        <v>96</v>
      </c>
      <c r="C23" s="14" t="s">
        <v>44</v>
      </c>
      <c r="D23" s="14" t="s">
        <v>45</v>
      </c>
      <c r="E23" s="14" t="str">
        <f>CONCATENATE(C23," ",D23)</f>
        <v>Microwave Panasonic</v>
      </c>
      <c r="F23" s="14">
        <v>80</v>
      </c>
      <c r="G23" s="15">
        <f>IF(ISBLANK(F23),"130",F23)</f>
        <v>80</v>
      </c>
      <c r="H23" s="14">
        <v>20</v>
      </c>
      <c r="I23" s="14" t="s">
        <v>12</v>
      </c>
      <c r="J23" s="17" t="str">
        <f>IF(ISBLANK(I23),"Unknown",I23)</f>
        <v>Kitchen</v>
      </c>
      <c r="M23" s="12" t="s">
        <v>111</v>
      </c>
    </row>
    <row r="24" spans="1:13" ht="25" x14ac:dyDescent="0.35">
      <c r="A24" s="16">
        <v>46222</v>
      </c>
      <c r="B24" s="14" t="s">
        <v>101</v>
      </c>
      <c r="C24" s="14" t="s">
        <v>46</v>
      </c>
      <c r="D24" s="14" t="s">
        <v>47</v>
      </c>
      <c r="E24" s="14" t="str">
        <f>CONCATENATE(C24," ",D24)</f>
        <v>Fitness Tracker Xiaomi</v>
      </c>
      <c r="F24" s="14">
        <v>150</v>
      </c>
      <c r="G24" s="15">
        <f>IF(ISBLANK(F24),"130",F24)</f>
        <v>150</v>
      </c>
      <c r="H24" s="14">
        <v>30</v>
      </c>
      <c r="I24" s="14"/>
      <c r="J24" s="17" t="str">
        <f>IF(ISBLANK(I24),"Electronics",I24)</f>
        <v>Electronics</v>
      </c>
    </row>
    <row r="25" spans="1:13" x14ac:dyDescent="0.35">
      <c r="A25" s="16">
        <v>46294</v>
      </c>
      <c r="B25" s="14" t="s">
        <v>96</v>
      </c>
      <c r="C25" s="14" t="s">
        <v>48</v>
      </c>
      <c r="D25" s="14" t="s">
        <v>49</v>
      </c>
      <c r="E25" s="14" t="str">
        <f>CONCATENATE(C25," ",D25)</f>
        <v>Smartphone Google</v>
      </c>
      <c r="F25" s="14">
        <v>800</v>
      </c>
      <c r="G25" s="15">
        <f>IF(ISBLANK(F25),"130",F25)</f>
        <v>800</v>
      </c>
      <c r="H25" s="14">
        <v>45</v>
      </c>
      <c r="I25" s="14" t="s">
        <v>6</v>
      </c>
      <c r="J25" s="17" t="str">
        <f>IF(ISBLANK(I25),"Unknown",I25)</f>
        <v>Electronics</v>
      </c>
    </row>
    <row r="26" spans="1:13" x14ac:dyDescent="0.35">
      <c r="A26" s="16">
        <v>46176</v>
      </c>
      <c r="B26" s="14" t="s">
        <v>96</v>
      </c>
      <c r="C26" s="14" t="s">
        <v>38</v>
      </c>
      <c r="D26" s="14" t="s">
        <v>50</v>
      </c>
      <c r="E26" s="14" t="str">
        <f>CONCATENATE(C26," ",D26)</f>
        <v>Sunglasses Ray-Ban</v>
      </c>
      <c r="F26" s="14"/>
      <c r="G26" s="15">
        <v>130</v>
      </c>
      <c r="H26" s="14">
        <v>25</v>
      </c>
      <c r="I26" s="14" t="s">
        <v>9</v>
      </c>
      <c r="J26" s="17" t="str">
        <f>IF(ISBLANK(I26),"Unknown",I26)</f>
        <v>Fashion</v>
      </c>
    </row>
    <row r="27" spans="1:13" x14ac:dyDescent="0.35">
      <c r="A27" s="16">
        <v>46214</v>
      </c>
      <c r="B27" s="14" t="s">
        <v>96</v>
      </c>
      <c r="C27" s="14" t="s">
        <v>20</v>
      </c>
      <c r="D27" s="14" t="s">
        <v>51</v>
      </c>
      <c r="E27" s="14" t="str">
        <f>CONCATENATE(C27," ",D27)</f>
        <v>Blender Vitamix</v>
      </c>
      <c r="F27" s="14">
        <v>400</v>
      </c>
      <c r="G27" s="15">
        <f>IF(ISBLANK(F27),"130",F27)</f>
        <v>400</v>
      </c>
      <c r="H27" s="14">
        <v>40</v>
      </c>
      <c r="I27" s="14" t="s">
        <v>12</v>
      </c>
      <c r="J27" s="17" t="str">
        <f>IF(ISBLANK(I27),"Unknown",I27)</f>
        <v>Kitchen</v>
      </c>
    </row>
    <row r="28" spans="1:13" x14ac:dyDescent="0.35">
      <c r="A28" s="16">
        <v>46088</v>
      </c>
      <c r="B28" s="14" t="s">
        <v>96</v>
      </c>
      <c r="C28" s="14" t="s">
        <v>52</v>
      </c>
      <c r="D28" s="14" t="s">
        <v>53</v>
      </c>
      <c r="E28" s="14" t="str">
        <f>CONCATENATE(C28," ",D28)</f>
        <v>Dress Zara</v>
      </c>
      <c r="F28" s="14">
        <v>60</v>
      </c>
      <c r="G28" s="15">
        <f>IF(ISBLANK(F28),"130",F28)</f>
        <v>60</v>
      </c>
      <c r="H28" s="14">
        <v>30</v>
      </c>
      <c r="I28" s="14" t="s">
        <v>9</v>
      </c>
      <c r="J28" s="17" t="str">
        <f>IF(ISBLANK(I28),"Unknown",I28)</f>
        <v>Fashion</v>
      </c>
    </row>
    <row r="29" spans="1:13" x14ac:dyDescent="0.35">
      <c r="A29" s="16">
        <v>46125</v>
      </c>
      <c r="B29" s="14" t="s">
        <v>96</v>
      </c>
      <c r="C29" s="14" t="s">
        <v>54</v>
      </c>
      <c r="D29" s="14" t="s">
        <v>55</v>
      </c>
      <c r="E29" s="14" t="str">
        <f>CONCATENATE(C29," ",D29)</f>
        <v>Toaster Hamilton</v>
      </c>
      <c r="F29" s="14">
        <v>40</v>
      </c>
      <c r="G29" s="15">
        <f>IF(ISBLANK(F29),"130",F29)</f>
        <v>40</v>
      </c>
      <c r="H29" s="14">
        <v>10</v>
      </c>
      <c r="I29" s="14" t="s">
        <v>12</v>
      </c>
      <c r="J29" s="17" t="str">
        <f>IF(ISBLANK(I29),"Unknown",I29)</f>
        <v>Kitchen</v>
      </c>
    </row>
    <row r="30" spans="1:13" ht="25" x14ac:dyDescent="0.35">
      <c r="A30" s="16">
        <v>46166</v>
      </c>
      <c r="B30" s="14" t="s">
        <v>96</v>
      </c>
      <c r="C30" s="14" t="s">
        <v>46</v>
      </c>
      <c r="D30" s="14" t="s">
        <v>56</v>
      </c>
      <c r="E30" s="14" t="str">
        <f>CONCATENATE(C30," ",D30)</f>
        <v>Fitness Tracker Garmin</v>
      </c>
      <c r="F30" s="14">
        <v>130</v>
      </c>
      <c r="G30" s="15">
        <f>IF(ISBLANK(F30),"130",F30)</f>
        <v>130</v>
      </c>
      <c r="H30" s="14">
        <v>5</v>
      </c>
      <c r="I30" s="14" t="s">
        <v>6</v>
      </c>
      <c r="J30" s="17" t="str">
        <f>IF(ISBLANK(I30),"Unknown",I30)</f>
        <v>Electronics</v>
      </c>
    </row>
    <row r="31" spans="1:13" x14ac:dyDescent="0.35">
      <c r="A31" s="16">
        <v>46358</v>
      </c>
      <c r="B31" s="14" t="s">
        <v>96</v>
      </c>
      <c r="C31" s="14" t="s">
        <v>57</v>
      </c>
      <c r="D31" s="14" t="s">
        <v>58</v>
      </c>
      <c r="E31" s="14" t="str">
        <f>CONCATENATE(C31," ",D31)</f>
        <v>Jeans Levi's</v>
      </c>
      <c r="F31" s="14">
        <v>50</v>
      </c>
      <c r="G31" s="15">
        <f>IF(ISBLANK(F31),"130",F31)</f>
        <v>50</v>
      </c>
      <c r="H31" s="14">
        <v>50</v>
      </c>
      <c r="I31" s="14" t="s">
        <v>9</v>
      </c>
      <c r="J31" s="17" t="str">
        <f>IF(ISBLANK(I31),"Unknown",I31)</f>
        <v>Fashion</v>
      </c>
    </row>
    <row r="32" spans="1:13" x14ac:dyDescent="0.35">
      <c r="A32" s="18">
        <v>46212</v>
      </c>
      <c r="B32" s="19" t="s">
        <v>102</v>
      </c>
      <c r="C32" s="19" t="s">
        <v>59</v>
      </c>
      <c r="D32" s="19" t="s">
        <v>60</v>
      </c>
      <c r="E32" s="19" t="str">
        <f>CONCATENATE(C32," ",D32)</f>
        <v>Watch Casio</v>
      </c>
      <c r="F32" s="19">
        <v>100</v>
      </c>
      <c r="G32" s="20">
        <f>IF(ISBLANK(F32),"130",F32)</f>
        <v>100</v>
      </c>
      <c r="H32" s="19">
        <v>20</v>
      </c>
      <c r="I32" s="19" t="s">
        <v>35</v>
      </c>
      <c r="J32" s="21" t="str">
        <f>IF(ISBLANK(I32),"Unknown",I32)</f>
        <v>Accessories</v>
      </c>
    </row>
    <row r="33" spans="1:10" x14ac:dyDescent="0.35">
      <c r="A33"/>
      <c r="B33"/>
      <c r="C33"/>
      <c r="D33"/>
      <c r="E33"/>
      <c r="F33"/>
      <c r="G33"/>
      <c r="H33"/>
      <c r="I33"/>
      <c r="J33"/>
    </row>
    <row r="34" spans="1:10" x14ac:dyDescent="0.35">
      <c r="A34"/>
      <c r="B34"/>
      <c r="C34"/>
      <c r="D34"/>
      <c r="E34"/>
      <c r="F34"/>
      <c r="G34"/>
      <c r="H34"/>
      <c r="I34"/>
      <c r="J34"/>
    </row>
    <row r="35" spans="1:10" x14ac:dyDescent="0.35">
      <c r="A35"/>
      <c r="B35"/>
      <c r="C35"/>
      <c r="D35"/>
      <c r="E35"/>
      <c r="F35"/>
      <c r="G35"/>
      <c r="H35"/>
      <c r="I35"/>
      <c r="J35"/>
    </row>
  </sheetData>
  <conditionalFormatting sqref="G2:G32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2:J32">
    <cfRule type="colorScale" priority="4">
      <colorScale>
        <cfvo type="min"/>
        <cfvo type="max"/>
        <color rgb="FFFF7128"/>
        <color rgb="FFFFEF9C"/>
      </colorScale>
    </cfRule>
    <cfRule type="expression" priority="3">
      <formula>J1="Electronics"</formula>
    </cfRule>
    <cfRule type="expression" dxfId="17" priority="2">
      <formula>A1="Electronics"</formula>
    </cfRule>
    <cfRule type="containsText" dxfId="16" priority="1" operator="containsText" text="Electronics">
      <formula>NOT(ISERROR(SEARCH("Electronics",J2)))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Questions</vt:lpstr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Gokulraj D</dc:creator>
  <cp:lastModifiedBy>Gokulraj D</cp:lastModifiedBy>
  <dcterms:created xsi:type="dcterms:W3CDTF">2026-03-28T04:17:47Z</dcterms:created>
  <dcterms:modified xsi:type="dcterms:W3CDTF">2026-03-29T09:19:43Z</dcterms:modified>
</cp:coreProperties>
</file>